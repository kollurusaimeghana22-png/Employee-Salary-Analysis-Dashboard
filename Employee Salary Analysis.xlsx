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524"/>
  <workbookPr defaultThemeVersion="166925"/>
  <xr:revisionPtr revIDLastSave="0" documentId="8_{CBD360A9-38E4-4B9F-8921-4908E6DB2C37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2" sheetId="2" r:id="rId1"/>
    <sheet name="Sheet1" sheetId="1" r:id="rId2"/>
  </sheets>
  <definedNames>
    <definedName name="Slicer_Department">#N/A</definedName>
  </definedNames>
  <calcPr calcId="191028"/>
  <pivotCaches>
    <pivotCache cacheId="363" r:id="rId3"/>
  </pivotCaches>
  <extLst>
    <ext xmlns:x14="http://schemas.microsoft.com/office/spreadsheetml/2009/9/main" uri="{BBE1A952-AA13-448e-AADC-164F8A28A991}">
      <x14:slicerCaches>
        <x14:slicerCache r:id="rId4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L3" i="2" l="1"/>
  <c r="J3" i="2"/>
  <c r="H3" i="2"/>
  <c r="F3" i="2"/>
  <c r="J5" i="1"/>
  <c r="G16" i="1"/>
  <c r="G15" i="1"/>
  <c r="G14" i="1"/>
  <c r="G13" i="1"/>
  <c r="G3" i="1"/>
  <c r="G4" i="1"/>
  <c r="G5" i="1"/>
  <c r="G6" i="1"/>
  <c r="G7" i="1"/>
  <c r="G8" i="1"/>
  <c r="G9" i="1"/>
  <c r="G10" i="1"/>
  <c r="G11" i="1"/>
  <c r="G12" i="1" s="1"/>
  <c r="G2" i="1"/>
</calcChain>
</file>

<file path=xl/sharedStrings.xml><?xml version="1.0" encoding="utf-8"?>
<sst xmlns="http://schemas.openxmlformats.org/spreadsheetml/2006/main" count="48" uniqueCount="30">
  <si>
    <t>Employee  Salary Analysis Dashboard</t>
  </si>
  <si>
    <t>Total Employees</t>
  </si>
  <si>
    <t>Total Salary</t>
  </si>
  <si>
    <t>Average Salary</t>
  </si>
  <si>
    <t>High Salary Employee</t>
  </si>
  <si>
    <t>Department</t>
  </si>
  <si>
    <t>Sum of Salary</t>
  </si>
  <si>
    <t>HR</t>
  </si>
  <si>
    <t>IT</t>
  </si>
  <si>
    <t>Sales</t>
  </si>
  <si>
    <t>Grand Total</t>
  </si>
  <si>
    <t>Employee ID</t>
  </si>
  <si>
    <t>Name</t>
  </si>
  <si>
    <t>Salary</t>
  </si>
  <si>
    <t>Experience</t>
  </si>
  <si>
    <t>Performance</t>
  </si>
  <si>
    <t>Salary Category</t>
  </si>
  <si>
    <t>Rahul</t>
  </si>
  <si>
    <t>Good</t>
  </si>
  <si>
    <t>Priya</t>
  </si>
  <si>
    <t>Average</t>
  </si>
  <si>
    <t>Arjun</t>
  </si>
  <si>
    <t>Excellent</t>
  </si>
  <si>
    <t>Sneha</t>
  </si>
  <si>
    <t>Kiran</t>
  </si>
  <si>
    <t>Anjali</t>
  </si>
  <si>
    <t>Rohit</t>
  </si>
  <si>
    <t>Divya</t>
  </si>
  <si>
    <t>Varun</t>
  </si>
  <si>
    <t>Neha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</si>
</sst>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₹-447]#,##0.00"/>
    <numFmt numFmtId="165" formatCode="[$₹-439]#,##0.00"/>
  </numFmts>
  <fonts count="3">
    <font>
      <sz val="11"/>
      <color theme="1"/>
      <name val="Calibri"/>
      <family val="2"/>
      <scheme val="minor"/>
    </font>
    <font>
      <b/>
      <sz val="16"/>
      <color rgb="FF000000"/>
      <name val="Calibri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/>
      <top/>
      <bottom style="medium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pivotButton="1"/>
    <xf numFmtId="0" fontId="0" fillId="0" borderId="0" xfId="0" applyNumberFormat="1"/>
    <xf numFmtId="0" fontId="2" fillId="0" borderId="3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164" fontId="2" fillId="0" borderId="3" xfId="0" applyNumberFormat="1" applyFont="1" applyBorder="1" applyAlignment="1">
      <alignment horizontal="center"/>
    </xf>
    <xf numFmtId="164" fontId="2" fillId="0" borderId="6" xfId="0" applyNumberFormat="1" applyFont="1" applyBorder="1" applyAlignment="1">
      <alignment horizontal="center"/>
    </xf>
    <xf numFmtId="165" fontId="2" fillId="0" borderId="3" xfId="0" applyNumberFormat="1" applyFont="1" applyBorder="1" applyAlignment="1">
      <alignment horizontal="center"/>
    </xf>
    <xf numFmtId="165" fontId="2" fillId="0" borderId="6" xfId="0" applyNumberFormat="1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2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pivotCacheDefinition" Target="pivotCache/pivotCacheDefinition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microsoft.com/office/2007/relationships/slicerCache" Target="slicerCaches/slicerCach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[Employee Salary Analysis.xlsx]Sheet2!PivotTable1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Sheet2!$A$4:$A$7</c:f>
              <c:strCache>
                <c:ptCount val="3"/>
                <c:pt idx="0">
                  <c:v>HR</c:v>
                </c:pt>
                <c:pt idx="1">
                  <c:v>IT</c:v>
                </c:pt>
                <c:pt idx="2">
                  <c:v>Sales</c:v>
                </c:pt>
              </c:strCache>
            </c:strRef>
          </c:cat>
          <c:val>
            <c:numRef>
              <c:f>Sheet2!$B$4:$B$7</c:f>
              <c:numCache>
                <c:formatCode>General</c:formatCode>
                <c:ptCount val="3"/>
                <c:pt idx="0">
                  <c:v>95000</c:v>
                </c:pt>
                <c:pt idx="1">
                  <c:v>150000</c:v>
                </c:pt>
                <c:pt idx="2">
                  <c:v>82000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7BD-49BF-9A7B-D4E4216C12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91214088"/>
        <c:axId val="991216136"/>
      </c:barChart>
      <c:catAx>
        <c:axId val="9912140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1216136"/>
        <c:crosses val="autoZero"/>
        <c:auto val="1"/>
        <c:lblAlgn val="ctr"/>
        <c:lblOffset val="100"/>
        <c:noMultiLvlLbl val="0"/>
      </c:catAx>
      <c:valAx>
        <c:axId val="9912161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12140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342900</xdr:colOff>
      <xdr:row>5</xdr:row>
      <xdr:rowOff>171450</xdr:rowOff>
    </xdr:from>
    <xdr:to>
      <xdr:col>11</xdr:col>
      <xdr:colOff>38100</xdr:colOff>
      <xdr:row>20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960D7E0-5EE5-ACD1-B679-3A73B2AE544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12</xdr:col>
      <xdr:colOff>9525</xdr:colOff>
      <xdr:row>4</xdr:row>
      <xdr:rowOff>47625</xdr:rowOff>
    </xdr:from>
    <xdr:to>
      <xdr:col>15</xdr:col>
      <xdr:colOff>9525</xdr:colOff>
      <xdr:row>18</xdr:row>
      <xdr:rowOff>19050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Department">
              <a:extLst>
                <a:ext uri="{FF2B5EF4-FFF2-40B4-BE49-F238E27FC236}">
                  <a16:creationId xmlns:a16="http://schemas.microsoft.com/office/drawing/2014/main" id="{3A097A58-E3F3-234A-411B-AB321727E303}"/>
                </a:ext>
                <a:ext uri="{147F2762-F138-4A5C-976F-8EAC2B608ADB}">
                  <a16:predDERef xmlns:a16="http://schemas.microsoft.com/office/drawing/2014/main" pred="{E960D7E0-5EE5-ACD1-B679-3A73B2AE544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Department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010525" y="885825"/>
              <a:ext cx="1828800" cy="26384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294.813520601849" createdVersion="8" refreshedVersion="8" minRefreshableVersion="3" recordCount="10" xr:uid="{F5306425-28DB-49C8-A7CB-C3FFF1D0697E}">
  <cacheSource type="worksheet">
    <worksheetSource ref="A1:G11" sheet="Sheet1"/>
  </cacheSource>
  <cacheFields count="7">
    <cacheField name="Employee ID" numFmtId="0">
      <sharedItems containsSemiMixedTypes="0" containsString="0" containsNumber="1" containsInteger="1" minValue="101" maxValue="110"/>
    </cacheField>
    <cacheField name="Name" numFmtId="0">
      <sharedItems/>
    </cacheField>
    <cacheField name="Department" numFmtId="0">
      <sharedItems count="3">
        <s v="IT"/>
        <s v="HR"/>
        <s v="Sales"/>
      </sharedItems>
    </cacheField>
    <cacheField name="Salary" numFmtId="0">
      <sharedItems containsSemiMixedTypes="0" containsString="0" containsNumber="1" containsInteger="1" minValue="25000" maxValue="45000"/>
    </cacheField>
    <cacheField name="Experience" numFmtId="0">
      <sharedItems containsSemiMixedTypes="0" containsString="0" containsNumber="1" containsInteger="1" minValue="1" maxValue="6"/>
    </cacheField>
    <cacheField name="Performance" numFmtId="0">
      <sharedItems/>
    </cacheField>
    <cacheField name="Salary Category" numFmtId="0">
      <sharedItems/>
    </cacheField>
  </cacheFields>
  <extLst>
    <ext xmlns:x14="http://schemas.microsoft.com/office/spreadsheetml/2009/9/main" uri="{725AE2AE-9491-48be-B2B4-4EB974FC3084}">
      <x14:pivotCacheDefinition pivotCacheId="2009353689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">
  <r>
    <n v="101"/>
    <s v="Rahul"/>
    <x v="0"/>
    <n v="30000"/>
    <n v="2"/>
    <s v="Good"/>
    <s v="Low"/>
  </r>
  <r>
    <n v="102"/>
    <s v="Priya"/>
    <x v="1"/>
    <n v="28000"/>
    <n v="1"/>
    <s v="Average"/>
    <s v="Low"/>
  </r>
  <r>
    <n v="103"/>
    <s v="Arjun"/>
    <x v="0"/>
    <n v="35000"/>
    <n v="3"/>
    <s v="Excellent"/>
    <s v="High"/>
  </r>
  <r>
    <n v="104"/>
    <s v="Sneha"/>
    <x v="2"/>
    <n v="25000"/>
    <n v="2"/>
    <s v="Good"/>
    <s v="Low"/>
  </r>
  <r>
    <n v="105"/>
    <s v="Kiran"/>
    <x v="0"/>
    <n v="40000"/>
    <n v="5"/>
    <s v="Excellent"/>
    <s v="High"/>
  </r>
  <r>
    <n v="106"/>
    <s v="Anjali"/>
    <x v="1"/>
    <n v="32000"/>
    <n v="4"/>
    <s v="Good"/>
    <s v="Low"/>
  </r>
  <r>
    <n v="107"/>
    <s v="Rohit"/>
    <x v="2"/>
    <n v="27000"/>
    <n v="1"/>
    <s v="Average"/>
    <s v="Low"/>
  </r>
  <r>
    <n v="108"/>
    <s v="Divya"/>
    <x v="0"/>
    <n v="45000"/>
    <n v="6"/>
    <s v="Excellent"/>
    <s v="High"/>
  </r>
  <r>
    <n v="109"/>
    <s v="Varun"/>
    <x v="2"/>
    <n v="30000"/>
    <n v="3"/>
    <s v="Good"/>
    <s v="Low"/>
  </r>
  <r>
    <n v="110"/>
    <s v="Neha"/>
    <x v="1"/>
    <n v="35000"/>
    <n v="5"/>
    <s v="Excellent"/>
    <s v="High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8158D6E-77BE-41DA-9995-5C38C44E267E}" name="PivotTable1" cacheId="36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3:B7" firstHeaderRow="1" firstDataRow="1" firstDataCol="1"/>
  <pivotFields count="7">
    <pivotField compact="0" outline="0" showAll="0"/>
    <pivotField compact="0" outline="0" showAll="0"/>
    <pivotField axis="axisRow" compact="0" outline="0" showAll="0">
      <items count="4">
        <item x="1"/>
        <item x="0"/>
        <item x="2"/>
        <item t="default"/>
      </items>
    </pivotField>
    <pivotField dataField="1" compact="0" outline="0" showAll="0"/>
    <pivotField compact="0" outline="0" showAll="0"/>
    <pivotField compact="0" outline="0" showAll="0"/>
    <pivotField compact="0" outline="0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Salary" fld="3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Department" xr10:uid="{211ACD30-94B7-46E6-AF79-7B1EFFC70FA7}" sourceName="Department">
  <pivotTables>
    <pivotTable tabId="2" name="PivotTable1"/>
  </pivotTables>
  <data>
    <tabular pivotCacheId="2009353689">
      <items count="3">
        <i x="1" s="1"/>
        <i x="0" s="1"/>
        <i x="2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Department" xr10:uid="{86081838-C1D9-4915-AB82-87E9F7654051}" cache="Slicer_Department" caption="Department" rowHeight="228600"/>
</slicer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5A4AF7-66E4-447D-8345-70BA2F69B69F}">
  <dimension ref="A1:V7"/>
  <sheetViews>
    <sheetView tabSelected="1" workbookViewId="0">
      <selection activeCell="J3" sqref="J3"/>
    </sheetView>
  </sheetViews>
  <sheetFormatPr defaultRowHeight="15"/>
  <cols>
    <col min="1" max="1" width="15.140625" bestFit="1" customWidth="1"/>
    <col min="2" max="2" width="13.42578125" bestFit="1" customWidth="1"/>
  </cols>
  <sheetData>
    <row r="1" spans="1:22" ht="21">
      <c r="A1" s="10" t="s">
        <v>0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</row>
    <row r="2" spans="1:22">
      <c r="F2" s="11" t="s">
        <v>1</v>
      </c>
      <c r="G2" s="12"/>
      <c r="H2" s="11" t="s">
        <v>2</v>
      </c>
      <c r="I2" s="12"/>
      <c r="J2" s="11" t="s">
        <v>3</v>
      </c>
      <c r="K2" s="12"/>
      <c r="L2" s="11" t="s">
        <v>4</v>
      </c>
      <c r="M2" s="13"/>
    </row>
    <row r="3" spans="1:22">
      <c r="A3" s="1" t="s">
        <v>5</v>
      </c>
      <c r="B3" t="s">
        <v>6</v>
      </c>
      <c r="F3" s="3">
        <f>Sheet1!J5</f>
        <v>10</v>
      </c>
      <c r="G3" s="4"/>
      <c r="H3" s="5">
        <f>SUM(Sheet1!D2:D11)</f>
        <v>327000</v>
      </c>
      <c r="I3" s="6"/>
      <c r="J3" s="7">
        <f>AVERAGE(Sheet1!D2:D11)</f>
        <v>32700</v>
      </c>
      <c r="K3" s="8"/>
      <c r="L3" s="3">
        <f>COUNTIF(Sheet1!G2:G11,"High")</f>
        <v>4</v>
      </c>
      <c r="M3" s="9"/>
    </row>
    <row r="4" spans="1:22">
      <c r="A4" t="s">
        <v>7</v>
      </c>
      <c r="B4" s="2">
        <v>95000</v>
      </c>
    </row>
    <row r="5" spans="1:22">
      <c r="A5" t="s">
        <v>8</v>
      </c>
      <c r="B5" s="2">
        <v>150000</v>
      </c>
    </row>
    <row r="6" spans="1:22">
      <c r="A6" t="s">
        <v>9</v>
      </c>
      <c r="B6" s="2">
        <v>82000</v>
      </c>
    </row>
    <row r="7" spans="1:22">
      <c r="A7" t="s">
        <v>10</v>
      </c>
      <c r="B7" s="2">
        <v>327000</v>
      </c>
    </row>
  </sheetData>
  <mergeCells count="9">
    <mergeCell ref="F3:G3"/>
    <mergeCell ref="H3:I3"/>
    <mergeCell ref="J3:K3"/>
    <mergeCell ref="L3:M3"/>
    <mergeCell ref="A1:V1"/>
    <mergeCell ref="F2:G2"/>
    <mergeCell ref="H2:I2"/>
    <mergeCell ref="J2:K2"/>
    <mergeCell ref="L2:M2"/>
  </mergeCells>
  <pageMargins left="0.7" right="0.7" top="0.75" bottom="0.75" header="0.3" footer="0.3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6"/>
  <sheetViews>
    <sheetView workbookViewId="0">
      <selection activeCell="J6" sqref="J6"/>
    </sheetView>
  </sheetViews>
  <sheetFormatPr defaultRowHeight="15"/>
  <cols>
    <col min="1" max="1" width="12.140625" bestFit="1" customWidth="1"/>
    <col min="2" max="2" width="6.42578125" bestFit="1" customWidth="1"/>
    <col min="3" max="3" width="11.7109375" bestFit="1" customWidth="1"/>
    <col min="4" max="4" width="6.5703125" bestFit="1" customWidth="1"/>
    <col min="5" max="5" width="10.7109375" bestFit="1" customWidth="1"/>
    <col min="6" max="6" width="12.42578125" bestFit="1" customWidth="1"/>
    <col min="7" max="7" width="14.85546875" bestFit="1" customWidth="1"/>
  </cols>
  <sheetData>
    <row r="1" spans="1:10">
      <c r="A1" t="s">
        <v>11</v>
      </c>
      <c r="B1" t="s">
        <v>12</v>
      </c>
      <c r="C1" t="s">
        <v>5</v>
      </c>
      <c r="D1" t="s">
        <v>13</v>
      </c>
      <c r="E1" t="s">
        <v>14</v>
      </c>
      <c r="F1" t="s">
        <v>15</v>
      </c>
      <c r="G1" t="s">
        <v>16</v>
      </c>
    </row>
    <row r="2" spans="1:10">
      <c r="A2">
        <v>101</v>
      </c>
      <c r="B2" t="s">
        <v>17</v>
      </c>
      <c r="C2" t="s">
        <v>8</v>
      </c>
      <c r="D2">
        <v>30000</v>
      </c>
      <c r="E2">
        <v>2</v>
      </c>
      <c r="F2" t="s">
        <v>18</v>
      </c>
      <c r="G2" t="str">
        <f>IF(D2&gt;=35000,"High","Low")</f>
        <v>Low</v>
      </c>
    </row>
    <row r="3" spans="1:10">
      <c r="A3">
        <v>102</v>
      </c>
      <c r="B3" t="s">
        <v>19</v>
      </c>
      <c r="C3" t="s">
        <v>7</v>
      </c>
      <c r="D3">
        <v>28000</v>
      </c>
      <c r="E3">
        <v>1</v>
      </c>
      <c r="F3" t="s">
        <v>20</v>
      </c>
      <c r="G3" t="str">
        <f t="shared" ref="G3:G11" si="0">IF(D3&gt;=35000,"High","Low")</f>
        <v>Low</v>
      </c>
    </row>
    <row r="4" spans="1:10">
      <c r="A4">
        <v>103</v>
      </c>
      <c r="B4" t="s">
        <v>21</v>
      </c>
      <c r="C4" t="s">
        <v>8</v>
      </c>
      <c r="D4">
        <v>35000</v>
      </c>
      <c r="E4">
        <v>3</v>
      </c>
      <c r="F4" t="s">
        <v>22</v>
      </c>
      <c r="G4" t="str">
        <f t="shared" si="0"/>
        <v>High</v>
      </c>
    </row>
    <row r="5" spans="1:10">
      <c r="A5">
        <v>104</v>
      </c>
      <c r="B5" t="s">
        <v>23</v>
      </c>
      <c r="C5" t="s">
        <v>9</v>
      </c>
      <c r="D5">
        <v>25000</v>
      </c>
      <c r="E5">
        <v>2</v>
      </c>
      <c r="F5" t="s">
        <v>18</v>
      </c>
      <c r="G5" t="str">
        <f t="shared" si="0"/>
        <v>Low</v>
      </c>
      <c r="J5">
        <f>COUNTA(A2:A11)</f>
        <v>10</v>
      </c>
    </row>
    <row r="6" spans="1:10">
      <c r="A6">
        <v>105</v>
      </c>
      <c r="B6" t="s">
        <v>24</v>
      </c>
      <c r="C6" t="s">
        <v>8</v>
      </c>
      <c r="D6">
        <v>40000</v>
      </c>
      <c r="E6">
        <v>5</v>
      </c>
      <c r="F6" t="s">
        <v>22</v>
      </c>
      <c r="G6" t="str">
        <f t="shared" si="0"/>
        <v>High</v>
      </c>
    </row>
    <row r="7" spans="1:10">
      <c r="A7">
        <v>106</v>
      </c>
      <c r="B7" t="s">
        <v>25</v>
      </c>
      <c r="C7" t="s">
        <v>7</v>
      </c>
      <c r="D7">
        <v>32000</v>
      </c>
      <c r="E7">
        <v>4</v>
      </c>
      <c r="F7" t="s">
        <v>18</v>
      </c>
      <c r="G7" t="str">
        <f t="shared" si="0"/>
        <v>Low</v>
      </c>
    </row>
    <row r="8" spans="1:10">
      <c r="A8">
        <v>107</v>
      </c>
      <c r="B8" t="s">
        <v>26</v>
      </c>
      <c r="C8" t="s">
        <v>9</v>
      </c>
      <c r="D8">
        <v>27000</v>
      </c>
      <c r="E8">
        <v>1</v>
      </c>
      <c r="F8" t="s">
        <v>20</v>
      </c>
      <c r="G8" t="str">
        <f t="shared" si="0"/>
        <v>Low</v>
      </c>
    </row>
    <row r="9" spans="1:10">
      <c r="A9">
        <v>108</v>
      </c>
      <c r="B9" t="s">
        <v>27</v>
      </c>
      <c r="C9" t="s">
        <v>8</v>
      </c>
      <c r="D9">
        <v>45000</v>
      </c>
      <c r="E9">
        <v>6</v>
      </c>
      <c r="F9" t="s">
        <v>22</v>
      </c>
      <c r="G9" t="str">
        <f t="shared" si="0"/>
        <v>High</v>
      </c>
    </row>
    <row r="10" spans="1:10">
      <c r="A10">
        <v>109</v>
      </c>
      <c r="B10" t="s">
        <v>28</v>
      </c>
      <c r="C10" t="s">
        <v>9</v>
      </c>
      <c r="D10">
        <v>30000</v>
      </c>
      <c r="E10">
        <v>3</v>
      </c>
      <c r="F10" t="s">
        <v>18</v>
      </c>
      <c r="G10" t="str">
        <f t="shared" si="0"/>
        <v>Low</v>
      </c>
    </row>
    <row r="11" spans="1:10">
      <c r="A11">
        <v>110</v>
      </c>
      <c r="B11" t="s">
        <v>29</v>
      </c>
      <c r="C11" t="s">
        <v>7</v>
      </c>
      <c r="D11">
        <v>35000</v>
      </c>
      <c r="E11">
        <v>5</v>
      </c>
      <c r="F11" t="s">
        <v>22</v>
      </c>
      <c r="G11" t="str">
        <f t="shared" si="0"/>
        <v>High</v>
      </c>
    </row>
    <row r="12" spans="1:10">
      <c r="G12">
        <f>COUNTIF(G2:G11,"High")</f>
        <v>4</v>
      </c>
    </row>
    <row r="13" spans="1:10">
      <c r="G13">
        <f>COUNTIFS(C2:C11,"IT",D2:D11,"&gt;=30000")</f>
        <v>4</v>
      </c>
    </row>
    <row r="14" spans="1:10">
      <c r="G14">
        <f>SUMIFS(D2:D11,C2:C11,"IT")</f>
        <v>150000</v>
      </c>
    </row>
    <row r="15" spans="1:10">
      <c r="F15">
        <v>108</v>
      </c>
      <c r="G15">
        <f>_xlfn.XLOOKUP(F15,A2:A11,D2:D11)</f>
        <v>45000</v>
      </c>
    </row>
    <row r="16" spans="1:10">
      <c r="G16">
        <f>INDEX(D2:D11,MATCH(107,A2:A11,0))</f>
        <v>27000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2026-09-29T13:43:05Z</dcterms:created>
  <dcterms:modified xsi:type="dcterms:W3CDTF">2026-09-29T14:33:20Z</dcterms:modified>
  <cp:category/>
  <cp:contentStatus/>
</cp:coreProperties>
</file>